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C:\Users\IndexY\Desktop\paralle_\"/>
    </mc:Choice>
  </mc:AlternateContent>
  <xr:revisionPtr revIDLastSave="0" documentId="13_ncr:1_{919A26C7-E2C1-489A-8D1E-E550BA1EEF1F}" xr6:coauthVersionLast="36" xr6:coauthVersionMax="36" xr10:uidLastSave="{00000000-0000-0000-0000-000000000000}"/>
  <bookViews>
    <workbookView xWindow="480" yWindow="60" windowWidth="18192" windowHeight="8508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33" i="1" l="1"/>
  <c r="K33" i="1"/>
  <c r="L33" i="1"/>
  <c r="M33" i="1"/>
  <c r="I33" i="1"/>
  <c r="I32" i="1"/>
  <c r="K32" i="1"/>
  <c r="L32" i="1"/>
  <c r="M32" i="1"/>
  <c r="J32" i="1"/>
  <c r="M21" i="1" l="1"/>
  <c r="M20" i="1"/>
  <c r="M19" i="1"/>
  <c r="M18" i="1"/>
  <c r="L21" i="1" l="1"/>
  <c r="L20" i="1"/>
  <c r="L19" i="1"/>
  <c r="L18" i="1"/>
  <c r="K21" i="1"/>
  <c r="K20" i="1"/>
  <c r="K18" i="1"/>
  <c r="K19" i="1"/>
  <c r="J19" i="1"/>
  <c r="J18" i="1"/>
  <c r="J21" i="1"/>
  <c r="J20" i="1"/>
  <c r="F16" i="1" l="1"/>
  <c r="F15" i="1"/>
</calcChain>
</file>

<file path=xl/sharedStrings.xml><?xml version="1.0" encoding="utf-8"?>
<sst xmlns="http://schemas.openxmlformats.org/spreadsheetml/2006/main" count="82" uniqueCount="48">
  <si>
    <t>初始参数</t>
  </si>
  <si>
    <t>限位1米</t>
  </si>
  <si>
    <t>对半后</t>
  </si>
  <si>
    <t>l_max</t>
  </si>
  <si>
    <t>l_min</t>
  </si>
  <si>
    <t>R1</t>
  </si>
  <si>
    <t>R2</t>
  </si>
  <si>
    <t>H</t>
  </si>
  <si>
    <t>r1</t>
  </si>
  <si>
    <t>r2</t>
  </si>
  <si>
    <t>h</t>
  </si>
  <si>
    <t>alpha_plant</t>
  </si>
  <si>
    <t>beta_plant</t>
  </si>
  <si>
    <t>gamma_plant</t>
  </si>
  <si>
    <t>当前参数</t>
    <phoneticPr fontId="2" type="noConversion"/>
  </si>
  <si>
    <t>l_tool</t>
    <phoneticPr fontId="2" type="noConversion"/>
  </si>
  <si>
    <t>b_dir1(deg)</t>
    <phoneticPr fontId="2" type="noConversion"/>
  </si>
  <si>
    <t>b_dir2(deg)</t>
    <phoneticPr fontId="2" type="noConversion"/>
  </si>
  <si>
    <t>b_dir3(deg)</t>
    <phoneticPr fontId="2" type="noConversion"/>
  </si>
  <si>
    <t>b_dir4(deg)</t>
    <phoneticPr fontId="2" type="noConversion"/>
  </si>
  <si>
    <t>b_dir5(deg)</t>
    <phoneticPr fontId="2" type="noConversion"/>
  </si>
  <si>
    <t>m_dir1(deg)</t>
    <phoneticPr fontId="2" type="noConversion"/>
  </si>
  <si>
    <t>m_dir2(deg)</t>
    <phoneticPr fontId="2" type="noConversion"/>
  </si>
  <si>
    <t>m_dir3(deg)</t>
  </si>
  <si>
    <t>m_dir4(deg)</t>
  </si>
  <si>
    <t>m_dir5(deg)</t>
  </si>
  <si>
    <t>L0_1</t>
    <phoneticPr fontId="2" type="noConversion"/>
  </si>
  <si>
    <t>L0_2</t>
    <phoneticPr fontId="2" type="noConversion"/>
  </si>
  <si>
    <t>L0_3</t>
    <phoneticPr fontId="2" type="noConversion"/>
  </si>
  <si>
    <t>L0_4</t>
  </si>
  <si>
    <t>L0_5</t>
  </si>
  <si>
    <t>joint_u_angle_tilt</t>
    <phoneticPr fontId="2" type="noConversion"/>
  </si>
  <si>
    <t>一种轻量化五轴全并联加工机器人研发与应用</t>
  </si>
  <si>
    <t>default</t>
    <phoneticPr fontId="2" type="noConversion"/>
  </si>
  <si>
    <t>参数列表</t>
    <phoneticPr fontId="2" type="noConversion"/>
  </si>
  <si>
    <t>一种五轴并联加工单元的参数与刚度优化设计</t>
  </si>
  <si>
    <t>current</t>
    <phoneticPr fontId="2" type="noConversion"/>
  </si>
  <si>
    <t>modify_base_current</t>
    <phoneticPr fontId="2" type="noConversion"/>
  </si>
  <si>
    <t>need to design</t>
    <phoneticPr fontId="2" type="noConversion"/>
  </si>
  <si>
    <t>v1</t>
    <phoneticPr fontId="2" type="noConversion"/>
  </si>
  <si>
    <t>v2-0525</t>
    <phoneticPr fontId="2" type="noConversion"/>
  </si>
  <si>
    <t>V3</t>
    <phoneticPr fontId="2" type="noConversion"/>
  </si>
  <si>
    <t>V4</t>
    <phoneticPr fontId="2" type="noConversion"/>
  </si>
  <si>
    <t>V5</t>
    <phoneticPr fontId="2" type="noConversion"/>
  </si>
  <si>
    <t>V6</t>
    <phoneticPr fontId="2" type="noConversion"/>
  </si>
  <si>
    <t>LTI</t>
    <phoneticPr fontId="2" type="noConversion"/>
  </si>
  <si>
    <t>AA</t>
    <phoneticPr fontId="2" type="noConversion"/>
  </si>
  <si>
    <t>LCI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</si>
</sst>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3" borderId="0" xfId="0" applyFill="1" applyAlignment="1"/>
    <xf numFmtId="3" fontId="0" fillId="3" borderId="0" xfId="0" applyNumberFormat="1" applyFill="1" applyAlignment="1">
      <alignment horizontal="right"/>
    </xf>
    <xf numFmtId="0" fontId="1" fillId="0" borderId="1" xfId="0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left"/>
    </xf>
    <xf numFmtId="0" fontId="0" fillId="0" borderId="0" xfId="0" applyFill="1" applyAlignment="1"/>
    <xf numFmtId="0" fontId="3" fillId="0" borderId="0" xfId="0" applyFont="1" applyFill="1" applyAlignment="1"/>
    <xf numFmtId="0" fontId="1" fillId="0" borderId="2" xfId="0" applyFont="1" applyFill="1" applyBorder="1" applyAlignment="1">
      <alignment horizontal="left"/>
    </xf>
    <xf numFmtId="0" fontId="0" fillId="0" borderId="2" xfId="0" applyFill="1" applyBorder="1" applyAlignment="1"/>
    <xf numFmtId="0" fontId="4" fillId="0" borderId="1" xfId="0" applyFont="1" applyFill="1" applyBorder="1" applyAlignment="1">
      <alignment horizontal="left"/>
    </xf>
    <xf numFmtId="176" fontId="1" fillId="0" borderId="2" xfId="0" applyNumberFormat="1" applyFont="1" applyFill="1" applyBorder="1" applyAlignment="1">
      <alignment horizontal="right"/>
    </xf>
    <xf numFmtId="0" fontId="1" fillId="0" borderId="2" xfId="0" applyNumberFormat="1" applyFont="1" applyFill="1" applyBorder="1" applyAlignment="1">
      <alignment horizontal="right"/>
    </xf>
    <xf numFmtId="176" fontId="1" fillId="4" borderId="2" xfId="0" applyNumberFormat="1" applyFont="1" applyFill="1" applyBorder="1" applyAlignment="1">
      <alignment horizontal="right"/>
    </xf>
    <xf numFmtId="0" fontId="0" fillId="4" borderId="0" xfId="0" applyFill="1" applyAlignment="1"/>
    <xf numFmtId="0" fontId="0" fillId="4" borderId="2" xfId="0" applyFill="1" applyBorder="1" applyAlignment="1"/>
    <xf numFmtId="176" fontId="1" fillId="5" borderId="2" xfId="0" applyNumberFormat="1" applyFont="1" applyFill="1" applyBorder="1" applyAlignment="1">
      <alignment horizontal="right"/>
    </xf>
    <xf numFmtId="0" fontId="0" fillId="6" borderId="2" xfId="0" applyFill="1" applyBorder="1" applyAlignment="1"/>
    <xf numFmtId="0" fontId="0" fillId="0" borderId="0" xfId="0" applyNumberFormat="1" applyAlignment="1">
      <alignment horizontal="right"/>
    </xf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33"/>
  <sheetViews>
    <sheetView tabSelected="1" topLeftCell="A4" workbookViewId="0">
      <pane xSplit="1" topLeftCell="B1" activePane="topRight" state="frozen"/>
      <selection activeCell="A4" sqref="A4"/>
      <selection pane="topRight" activeCell="B11" sqref="B11"/>
    </sheetView>
  </sheetViews>
  <sheetFormatPr defaultRowHeight="14.4" x14ac:dyDescent="0.25"/>
  <cols>
    <col min="1" max="1" width="13.33203125" style="5" customWidth="1"/>
    <col min="2" max="2" width="11.6640625" style="6" customWidth="1"/>
    <col min="3" max="4" width="13.5546875" style="5" bestFit="1" customWidth="1"/>
    <col min="5" max="13" width="13.5546875" style="5" customWidth="1"/>
    <col min="14" max="14" width="12.6640625" style="5" bestFit="1" customWidth="1"/>
    <col min="15" max="15" width="13.5546875" style="6" bestFit="1" customWidth="1"/>
    <col min="16" max="16" width="13.5546875" style="5" bestFit="1" customWidth="1"/>
    <col min="17" max="17" width="13.109375" style="5" bestFit="1" customWidth="1"/>
    <col min="18" max="18" width="13.5546875" style="6" bestFit="1" customWidth="1"/>
    <col min="19" max="19" width="13.5546875" style="5" bestFit="1" customWidth="1"/>
    <col min="20" max="20" width="15.44140625" style="5" bestFit="1" customWidth="1"/>
    <col min="21" max="21" width="13.5546875" style="6" bestFit="1" customWidth="1"/>
  </cols>
  <sheetData>
    <row r="1" spans="1:21" ht="20.25" customHeight="1" x14ac:dyDescent="0.35">
      <c r="A1" s="15" t="s">
        <v>34</v>
      </c>
      <c r="B1" s="10" t="s">
        <v>33</v>
      </c>
      <c r="C1" s="11" t="s">
        <v>37</v>
      </c>
      <c r="D1" s="11" t="s">
        <v>36</v>
      </c>
      <c r="E1" s="11" t="s">
        <v>32</v>
      </c>
      <c r="F1" s="11" t="s">
        <v>35</v>
      </c>
      <c r="G1" s="14" t="s">
        <v>38</v>
      </c>
      <c r="H1" s="14" t="s">
        <v>39</v>
      </c>
      <c r="I1" s="22" t="s">
        <v>40</v>
      </c>
      <c r="J1" s="14" t="s">
        <v>41</v>
      </c>
      <c r="K1" s="14" t="s">
        <v>42</v>
      </c>
      <c r="L1" s="14" t="s">
        <v>43</v>
      </c>
      <c r="M1" s="20" t="s">
        <v>44</v>
      </c>
      <c r="N1" s="1" t="s">
        <v>0</v>
      </c>
      <c r="O1" s="2"/>
      <c r="P1" s="1"/>
      <c r="Q1" s="1" t="s">
        <v>1</v>
      </c>
      <c r="R1" s="2"/>
      <c r="S1" s="1"/>
      <c r="T1" s="1" t="s">
        <v>2</v>
      </c>
      <c r="U1" s="2"/>
    </row>
    <row r="2" spans="1:21" ht="18.75" customHeight="1" x14ac:dyDescent="0.3">
      <c r="A2" s="9" t="s">
        <v>3</v>
      </c>
      <c r="B2" s="16">
        <v>1020</v>
      </c>
      <c r="C2" s="16">
        <v>1020</v>
      </c>
      <c r="D2" s="16">
        <v>1020</v>
      </c>
      <c r="E2" s="16">
        <v>2000</v>
      </c>
      <c r="F2" s="16">
        <v>2000</v>
      </c>
      <c r="G2" s="16">
        <v>1020</v>
      </c>
      <c r="H2" s="16">
        <v>1020</v>
      </c>
      <c r="I2" s="18">
        <v>1020</v>
      </c>
      <c r="J2" s="16">
        <v>1020</v>
      </c>
      <c r="K2" s="16">
        <v>1020</v>
      </c>
      <c r="L2" s="16">
        <v>1020</v>
      </c>
      <c r="M2" s="18">
        <v>1020</v>
      </c>
      <c r="N2" s="1" t="s">
        <v>3</v>
      </c>
      <c r="O2" s="4">
        <v>1030</v>
      </c>
      <c r="P2" s="1"/>
      <c r="Q2" s="1" t="s">
        <v>3</v>
      </c>
      <c r="R2" s="4">
        <v>740</v>
      </c>
      <c r="S2" s="1"/>
      <c r="T2" s="1" t="s">
        <v>3</v>
      </c>
      <c r="U2" s="4">
        <v>740</v>
      </c>
    </row>
    <row r="3" spans="1:21" ht="18.75" customHeight="1" x14ac:dyDescent="0.3">
      <c r="A3" s="9" t="s">
        <v>4</v>
      </c>
      <c r="B3" s="16">
        <v>720</v>
      </c>
      <c r="C3" s="16">
        <v>720</v>
      </c>
      <c r="D3" s="16">
        <v>720</v>
      </c>
      <c r="E3" s="16">
        <v>0</v>
      </c>
      <c r="F3" s="16">
        <v>0</v>
      </c>
      <c r="G3" s="16">
        <v>720</v>
      </c>
      <c r="H3" s="16">
        <v>720</v>
      </c>
      <c r="I3" s="18">
        <v>720</v>
      </c>
      <c r="J3" s="16">
        <v>720</v>
      </c>
      <c r="K3" s="16">
        <v>720</v>
      </c>
      <c r="L3" s="16">
        <v>720</v>
      </c>
      <c r="M3" s="18">
        <v>720</v>
      </c>
      <c r="N3" s="1" t="s">
        <v>4</v>
      </c>
      <c r="O3" s="4">
        <v>720</v>
      </c>
      <c r="P3" s="1"/>
      <c r="Q3" s="1" t="s">
        <v>4</v>
      </c>
      <c r="R3" s="4">
        <v>570</v>
      </c>
      <c r="S3" s="1"/>
      <c r="T3" s="1" t="s">
        <v>4</v>
      </c>
      <c r="U3" s="4">
        <v>570</v>
      </c>
    </row>
    <row r="4" spans="1:21" ht="18.75" customHeight="1" x14ac:dyDescent="0.3">
      <c r="A4" s="9" t="s">
        <v>5</v>
      </c>
      <c r="B4" s="16">
        <v>550</v>
      </c>
      <c r="C4" s="16">
        <v>550</v>
      </c>
      <c r="D4" s="16">
        <v>550</v>
      </c>
      <c r="E4" s="16">
        <v>1281</v>
      </c>
      <c r="F4" s="16">
        <v>650</v>
      </c>
      <c r="G4" s="16">
        <v>550</v>
      </c>
      <c r="H4" s="16">
        <v>550</v>
      </c>
      <c r="I4" s="18">
        <v>550</v>
      </c>
      <c r="J4" s="16">
        <v>550</v>
      </c>
      <c r="K4" s="16">
        <v>550</v>
      </c>
      <c r="L4" s="16">
        <v>550</v>
      </c>
      <c r="M4" s="18">
        <v>550</v>
      </c>
      <c r="N4" s="1" t="s">
        <v>5</v>
      </c>
      <c r="O4" s="4">
        <v>700</v>
      </c>
      <c r="P4" s="1"/>
      <c r="Q4" s="1" t="s">
        <v>5</v>
      </c>
      <c r="R4" s="4">
        <v>500</v>
      </c>
      <c r="S4" s="1"/>
      <c r="T4" s="1" t="s">
        <v>5</v>
      </c>
      <c r="U4" s="4">
        <v>350</v>
      </c>
    </row>
    <row r="5" spans="1:21" ht="18.75" customHeight="1" x14ac:dyDescent="0.3">
      <c r="A5" s="9" t="s">
        <v>6</v>
      </c>
      <c r="B5" s="16">
        <v>500</v>
      </c>
      <c r="C5" s="16">
        <v>500</v>
      </c>
      <c r="D5" s="16">
        <v>500</v>
      </c>
      <c r="E5" s="16">
        <v>1076</v>
      </c>
      <c r="F5" s="16">
        <v>650</v>
      </c>
      <c r="G5" s="16">
        <v>550</v>
      </c>
      <c r="H5" s="16">
        <v>500</v>
      </c>
      <c r="I5" s="18">
        <v>500</v>
      </c>
      <c r="J5" s="16">
        <v>500</v>
      </c>
      <c r="K5" s="16">
        <v>500</v>
      </c>
      <c r="L5" s="16">
        <v>500</v>
      </c>
      <c r="M5" s="18">
        <v>500</v>
      </c>
      <c r="N5" s="1" t="s">
        <v>6</v>
      </c>
      <c r="O5" s="4">
        <v>600</v>
      </c>
      <c r="P5" s="1"/>
      <c r="Q5" s="1" t="s">
        <v>6</v>
      </c>
      <c r="R5" s="4">
        <v>450</v>
      </c>
      <c r="S5" s="1"/>
      <c r="T5" s="1" t="s">
        <v>6</v>
      </c>
      <c r="U5" s="4">
        <v>300</v>
      </c>
    </row>
    <row r="6" spans="1:21" ht="18.75" customHeight="1" x14ac:dyDescent="0.3">
      <c r="A6" s="9" t="s">
        <v>7</v>
      </c>
      <c r="B6" s="16">
        <v>0</v>
      </c>
      <c r="C6" s="16">
        <v>0</v>
      </c>
      <c r="D6" s="16">
        <v>0</v>
      </c>
      <c r="E6" s="16">
        <v>250</v>
      </c>
      <c r="F6" s="16">
        <v>0</v>
      </c>
      <c r="G6" s="16">
        <v>0</v>
      </c>
      <c r="H6" s="16">
        <v>-18</v>
      </c>
      <c r="I6" s="18">
        <v>-2.57</v>
      </c>
      <c r="J6" s="16">
        <v>4.87</v>
      </c>
      <c r="K6" s="16">
        <v>0</v>
      </c>
      <c r="L6" s="16">
        <v>25.9</v>
      </c>
      <c r="M6" s="18">
        <v>17.3</v>
      </c>
      <c r="N6" s="1" t="s">
        <v>7</v>
      </c>
      <c r="O6" s="4">
        <v>-60</v>
      </c>
      <c r="P6" s="1"/>
      <c r="Q6" s="1" t="s">
        <v>7</v>
      </c>
      <c r="R6" s="4">
        <v>-45</v>
      </c>
      <c r="S6" s="1"/>
      <c r="T6" s="1" t="s">
        <v>7</v>
      </c>
      <c r="U6" s="4">
        <v>-30</v>
      </c>
    </row>
    <row r="7" spans="1:21" ht="18.75" customHeight="1" x14ac:dyDescent="0.3">
      <c r="A7" s="9" t="s">
        <v>8</v>
      </c>
      <c r="B7" s="16">
        <v>148.5</v>
      </c>
      <c r="C7" s="16">
        <v>150</v>
      </c>
      <c r="D7" s="16">
        <v>100</v>
      </c>
      <c r="E7" s="16">
        <v>180</v>
      </c>
      <c r="F7" s="16">
        <v>180</v>
      </c>
      <c r="G7" s="16">
        <v>150</v>
      </c>
      <c r="H7" s="16">
        <v>150</v>
      </c>
      <c r="I7" s="18">
        <v>148.5</v>
      </c>
      <c r="J7" s="16">
        <v>120.94</v>
      </c>
      <c r="K7" s="16">
        <v>126.26</v>
      </c>
      <c r="L7" s="16">
        <v>175.47</v>
      </c>
      <c r="M7" s="18">
        <v>176.69</v>
      </c>
      <c r="N7" s="1" t="s">
        <v>8</v>
      </c>
      <c r="O7" s="4">
        <v>120</v>
      </c>
      <c r="P7" s="1"/>
      <c r="Q7" s="1" t="s">
        <v>8</v>
      </c>
      <c r="R7" s="4">
        <v>80</v>
      </c>
      <c r="S7" s="1"/>
      <c r="T7" s="1" t="s">
        <v>8</v>
      </c>
      <c r="U7" s="4">
        <v>60</v>
      </c>
    </row>
    <row r="8" spans="1:21" ht="18.75" customHeight="1" x14ac:dyDescent="0.3">
      <c r="A8" s="9" t="s">
        <v>9</v>
      </c>
      <c r="B8" s="16">
        <v>62.87</v>
      </c>
      <c r="C8" s="16">
        <v>80</v>
      </c>
      <c r="D8" s="16">
        <v>80</v>
      </c>
      <c r="E8" s="16">
        <v>180</v>
      </c>
      <c r="F8" s="16">
        <v>90</v>
      </c>
      <c r="G8" s="16">
        <v>75</v>
      </c>
      <c r="H8" s="16">
        <v>40</v>
      </c>
      <c r="I8" s="18">
        <v>62.87</v>
      </c>
      <c r="J8" s="16">
        <v>61.47</v>
      </c>
      <c r="K8" s="16">
        <v>62.27</v>
      </c>
      <c r="L8" s="16">
        <v>67.22</v>
      </c>
      <c r="M8" s="18">
        <v>66.83</v>
      </c>
      <c r="N8" s="1" t="s">
        <v>9</v>
      </c>
      <c r="O8" s="4">
        <v>100</v>
      </c>
      <c r="P8" s="1"/>
      <c r="Q8" s="1" t="s">
        <v>9</v>
      </c>
      <c r="R8" s="4">
        <v>70</v>
      </c>
      <c r="S8" s="1"/>
      <c r="T8" s="1" t="s">
        <v>9</v>
      </c>
      <c r="U8" s="4">
        <v>50</v>
      </c>
    </row>
    <row r="9" spans="1:21" ht="18.75" customHeight="1" x14ac:dyDescent="0.3">
      <c r="A9" s="9" t="s">
        <v>10</v>
      </c>
      <c r="B9" s="16">
        <v>128</v>
      </c>
      <c r="C9" s="16">
        <v>315</v>
      </c>
      <c r="D9" s="16">
        <v>10</v>
      </c>
      <c r="E9" s="16">
        <v>340</v>
      </c>
      <c r="F9" s="16">
        <v>370</v>
      </c>
      <c r="G9" s="16">
        <v>315</v>
      </c>
      <c r="H9" s="16">
        <v>120</v>
      </c>
      <c r="I9" s="21">
        <v>128</v>
      </c>
      <c r="J9" s="16">
        <v>121.69</v>
      </c>
      <c r="K9" s="16">
        <v>116.6</v>
      </c>
      <c r="L9" s="16">
        <v>174.33</v>
      </c>
      <c r="M9" s="21">
        <v>166.77</v>
      </c>
      <c r="N9" s="1" t="s">
        <v>10</v>
      </c>
      <c r="O9" s="4">
        <v>20</v>
      </c>
      <c r="P9" s="1"/>
      <c r="Q9" s="1" t="s">
        <v>10</v>
      </c>
      <c r="R9" s="4">
        <v>10</v>
      </c>
      <c r="S9" s="1"/>
      <c r="T9" s="1" t="s">
        <v>10</v>
      </c>
      <c r="U9" s="4">
        <v>10</v>
      </c>
    </row>
    <row r="10" spans="1:21" ht="15" x14ac:dyDescent="0.3">
      <c r="A10" s="12" t="s">
        <v>15</v>
      </c>
      <c r="B10" s="16">
        <v>7.5</v>
      </c>
      <c r="C10" s="16">
        <v>150</v>
      </c>
      <c r="D10" s="16">
        <v>150</v>
      </c>
      <c r="E10" s="16">
        <v>0</v>
      </c>
      <c r="F10" s="16">
        <v>220</v>
      </c>
      <c r="G10" s="16">
        <v>140</v>
      </c>
      <c r="H10" s="16">
        <v>150</v>
      </c>
      <c r="I10" s="18">
        <v>150</v>
      </c>
      <c r="J10" s="16">
        <v>150</v>
      </c>
      <c r="K10" s="16">
        <v>150</v>
      </c>
      <c r="L10" s="16">
        <v>150</v>
      </c>
      <c r="M10" s="18">
        <v>150</v>
      </c>
    </row>
    <row r="11" spans="1:21" ht="15" x14ac:dyDescent="0.3">
      <c r="A11" s="12" t="s">
        <v>31</v>
      </c>
      <c r="B11" s="16">
        <v>155</v>
      </c>
      <c r="C11" s="16">
        <v>155</v>
      </c>
      <c r="D11" s="16">
        <v>155</v>
      </c>
      <c r="E11" s="16">
        <v>155</v>
      </c>
      <c r="F11" s="16">
        <v>155</v>
      </c>
      <c r="G11" s="16">
        <v>155</v>
      </c>
      <c r="H11" s="16">
        <v>155</v>
      </c>
      <c r="I11" s="18">
        <v>155</v>
      </c>
      <c r="J11" s="16">
        <v>155</v>
      </c>
      <c r="K11" s="16">
        <v>155</v>
      </c>
      <c r="L11" s="16">
        <v>155</v>
      </c>
      <c r="M11" s="18">
        <v>155</v>
      </c>
      <c r="N11" s="7" t="s">
        <v>14</v>
      </c>
      <c r="O11" s="8"/>
      <c r="Q11" s="3">
        <v>1020</v>
      </c>
    </row>
    <row r="12" spans="1:21" ht="15" x14ac:dyDescent="0.3">
      <c r="A12" s="13" t="s">
        <v>16</v>
      </c>
      <c r="B12" s="16">
        <v>90</v>
      </c>
      <c r="C12" s="16">
        <v>90</v>
      </c>
      <c r="D12" s="16">
        <v>90</v>
      </c>
      <c r="E12" s="16">
        <v>90</v>
      </c>
      <c r="F12" s="16">
        <v>90</v>
      </c>
      <c r="G12" s="16">
        <v>90</v>
      </c>
      <c r="H12" s="16">
        <v>90</v>
      </c>
      <c r="I12" s="18">
        <v>90</v>
      </c>
      <c r="J12" s="16">
        <v>90</v>
      </c>
      <c r="K12" s="16">
        <v>90</v>
      </c>
      <c r="L12" s="16">
        <v>90</v>
      </c>
      <c r="M12" s="18">
        <v>90</v>
      </c>
      <c r="N12" s="7" t="s">
        <v>3</v>
      </c>
      <c r="O12" s="8">
        <v>1030</v>
      </c>
      <c r="Q12" s="3">
        <v>730</v>
      </c>
    </row>
    <row r="13" spans="1:21" ht="15" x14ac:dyDescent="0.3">
      <c r="A13" s="13" t="s">
        <v>17</v>
      </c>
      <c r="B13" s="16">
        <v>210</v>
      </c>
      <c r="C13" s="16">
        <v>210</v>
      </c>
      <c r="D13" s="16">
        <v>210</v>
      </c>
      <c r="E13" s="16">
        <v>210</v>
      </c>
      <c r="F13" s="16">
        <v>210</v>
      </c>
      <c r="G13" s="16">
        <v>210</v>
      </c>
      <c r="H13" s="16">
        <v>210</v>
      </c>
      <c r="I13" s="18">
        <v>210</v>
      </c>
      <c r="J13" s="16">
        <v>210</v>
      </c>
      <c r="K13" s="16">
        <v>210</v>
      </c>
      <c r="L13" s="16">
        <v>210</v>
      </c>
      <c r="M13" s="18">
        <v>210</v>
      </c>
      <c r="N13" s="7" t="s">
        <v>4</v>
      </c>
      <c r="O13" s="8">
        <v>720</v>
      </c>
      <c r="Q13" s="3">
        <v>550</v>
      </c>
    </row>
    <row r="14" spans="1:21" ht="15" x14ac:dyDescent="0.3">
      <c r="A14" s="13" t="s">
        <v>18</v>
      </c>
      <c r="B14" s="16">
        <v>-30</v>
      </c>
      <c r="C14" s="16">
        <v>-30</v>
      </c>
      <c r="D14" s="16">
        <v>-30</v>
      </c>
      <c r="E14" s="16">
        <v>-30</v>
      </c>
      <c r="F14" s="16">
        <v>-30</v>
      </c>
      <c r="G14" s="16">
        <v>-30</v>
      </c>
      <c r="H14" s="16">
        <v>-30</v>
      </c>
      <c r="I14" s="18">
        <v>-30</v>
      </c>
      <c r="J14" s="16">
        <v>-30</v>
      </c>
      <c r="K14" s="16">
        <v>-30</v>
      </c>
      <c r="L14" s="16">
        <v>-30</v>
      </c>
      <c r="M14" s="18">
        <v>-30</v>
      </c>
      <c r="N14" s="7" t="s">
        <v>5</v>
      </c>
      <c r="O14" s="8">
        <v>550</v>
      </c>
      <c r="Q14" s="3">
        <v>500</v>
      </c>
    </row>
    <row r="15" spans="1:21" ht="15" x14ac:dyDescent="0.3">
      <c r="A15" s="13" t="s">
        <v>19</v>
      </c>
      <c r="B15" s="16">
        <v>30</v>
      </c>
      <c r="C15" s="16">
        <v>30</v>
      </c>
      <c r="D15" s="16">
        <v>30</v>
      </c>
      <c r="E15" s="16">
        <v>50</v>
      </c>
      <c r="F15" s="16">
        <f>90-33.3</f>
        <v>56.7</v>
      </c>
      <c r="G15" s="16">
        <v>45</v>
      </c>
      <c r="H15" s="16">
        <v>30</v>
      </c>
      <c r="I15" s="18">
        <v>30</v>
      </c>
      <c r="J15" s="16">
        <v>30</v>
      </c>
      <c r="K15" s="16">
        <v>30</v>
      </c>
      <c r="L15" s="16">
        <v>30</v>
      </c>
      <c r="M15" s="18">
        <v>30</v>
      </c>
      <c r="N15" s="7" t="s">
        <v>6</v>
      </c>
      <c r="O15" s="8">
        <v>500</v>
      </c>
      <c r="Q15" s="3">
        <v>0</v>
      </c>
    </row>
    <row r="16" spans="1:21" ht="15" x14ac:dyDescent="0.3">
      <c r="A16" s="13" t="s">
        <v>20</v>
      </c>
      <c r="B16" s="16">
        <v>150</v>
      </c>
      <c r="C16" s="16">
        <v>150</v>
      </c>
      <c r="D16" s="16">
        <v>150</v>
      </c>
      <c r="E16" s="16">
        <v>130</v>
      </c>
      <c r="F16" s="16">
        <f>90+33.3</f>
        <v>123.3</v>
      </c>
      <c r="G16" s="16">
        <v>135</v>
      </c>
      <c r="H16" s="16">
        <v>150</v>
      </c>
      <c r="I16" s="18">
        <v>150</v>
      </c>
      <c r="J16" s="16">
        <v>150</v>
      </c>
      <c r="K16" s="16">
        <v>150</v>
      </c>
      <c r="L16" s="16">
        <v>150</v>
      </c>
      <c r="M16" s="18">
        <v>150</v>
      </c>
      <c r="N16" s="7" t="s">
        <v>7</v>
      </c>
      <c r="O16" s="8">
        <v>0</v>
      </c>
      <c r="Q16" s="3">
        <v>100</v>
      </c>
    </row>
    <row r="17" spans="1:17" ht="15" x14ac:dyDescent="0.3">
      <c r="A17" s="13" t="s">
        <v>21</v>
      </c>
      <c r="B17" s="16">
        <v>90</v>
      </c>
      <c r="C17" s="16">
        <v>90</v>
      </c>
      <c r="D17" s="16">
        <v>90</v>
      </c>
      <c r="E17" s="16">
        <v>90</v>
      </c>
      <c r="F17" s="16">
        <v>90</v>
      </c>
      <c r="G17" s="16">
        <v>90</v>
      </c>
      <c r="H17" s="16">
        <v>90</v>
      </c>
      <c r="I17" s="18">
        <v>90</v>
      </c>
      <c r="J17" s="16">
        <v>90</v>
      </c>
      <c r="K17" s="16">
        <v>90</v>
      </c>
      <c r="L17" s="16">
        <v>90</v>
      </c>
      <c r="M17" s="18">
        <v>90</v>
      </c>
      <c r="N17" s="7" t="s">
        <v>8</v>
      </c>
      <c r="O17" s="8">
        <v>100</v>
      </c>
      <c r="Q17" s="3">
        <v>80</v>
      </c>
    </row>
    <row r="18" spans="1:17" ht="15" x14ac:dyDescent="0.3">
      <c r="A18" s="13" t="s">
        <v>22</v>
      </c>
      <c r="B18" s="16">
        <v>195</v>
      </c>
      <c r="C18" s="16">
        <v>210</v>
      </c>
      <c r="D18" s="16">
        <v>210</v>
      </c>
      <c r="E18" s="16">
        <v>210</v>
      </c>
      <c r="F18" s="16">
        <v>210</v>
      </c>
      <c r="G18" s="16">
        <v>210</v>
      </c>
      <c r="H18" s="16">
        <v>210</v>
      </c>
      <c r="I18" s="18">
        <v>195</v>
      </c>
      <c r="J18" s="16">
        <f>270-80</f>
        <v>190</v>
      </c>
      <c r="K18" s="16">
        <f>270-80</f>
        <v>190</v>
      </c>
      <c r="L18" s="16">
        <f>270-69.7</f>
        <v>200.3</v>
      </c>
      <c r="M18" s="18">
        <f>270-70</f>
        <v>200</v>
      </c>
      <c r="N18" s="7" t="s">
        <v>9</v>
      </c>
      <c r="O18" s="8">
        <v>80</v>
      </c>
      <c r="Q18" s="3">
        <v>10</v>
      </c>
    </row>
    <row r="19" spans="1:17" ht="15" x14ac:dyDescent="0.3">
      <c r="A19" s="13" t="s">
        <v>23</v>
      </c>
      <c r="B19" s="16">
        <v>-15</v>
      </c>
      <c r="C19" s="16">
        <v>-30</v>
      </c>
      <c r="D19" s="16">
        <v>-30</v>
      </c>
      <c r="E19" s="16">
        <v>-30</v>
      </c>
      <c r="F19" s="16">
        <v>-30</v>
      </c>
      <c r="G19" s="16">
        <v>-30</v>
      </c>
      <c r="H19" s="16">
        <v>-30</v>
      </c>
      <c r="I19" s="21">
        <v>-15</v>
      </c>
      <c r="J19" s="16">
        <f>-90+80</f>
        <v>-10</v>
      </c>
      <c r="K19" s="16">
        <f>-90+80</f>
        <v>-10</v>
      </c>
      <c r="L19" s="16">
        <f>-90+69.7</f>
        <v>-20.299999999999997</v>
      </c>
      <c r="M19" s="21">
        <f>-90+70</f>
        <v>-20</v>
      </c>
      <c r="N19" s="7" t="s">
        <v>10</v>
      </c>
      <c r="O19" s="8">
        <v>10</v>
      </c>
      <c r="Q19" s="3">
        <v>0</v>
      </c>
    </row>
    <row r="20" spans="1:17" ht="15" x14ac:dyDescent="0.3">
      <c r="A20" s="13" t="s">
        <v>24</v>
      </c>
      <c r="B20" s="16">
        <v>45</v>
      </c>
      <c r="C20" s="16">
        <v>40</v>
      </c>
      <c r="D20" s="16">
        <v>30</v>
      </c>
      <c r="E20" s="16">
        <v>45</v>
      </c>
      <c r="F20" s="16">
        <v>40</v>
      </c>
      <c r="G20" s="16">
        <v>45</v>
      </c>
      <c r="H20" s="16">
        <v>40</v>
      </c>
      <c r="I20" s="18">
        <v>45</v>
      </c>
      <c r="J20" s="16">
        <f>90-43.6</f>
        <v>46.4</v>
      </c>
      <c r="K20" s="16">
        <f>90-46.9</f>
        <v>43.1</v>
      </c>
      <c r="L20" s="16">
        <f>90-42.66</f>
        <v>47.34</v>
      </c>
      <c r="M20" s="18">
        <f>90-43.4</f>
        <v>46.6</v>
      </c>
      <c r="N20" s="7" t="s">
        <v>11</v>
      </c>
      <c r="O20" s="8">
        <v>0</v>
      </c>
      <c r="Q20" s="3">
        <v>0</v>
      </c>
    </row>
    <row r="21" spans="1:17" ht="15" x14ac:dyDescent="0.3">
      <c r="A21" s="13" t="s">
        <v>25</v>
      </c>
      <c r="B21" s="16">
        <v>135</v>
      </c>
      <c r="C21" s="16">
        <v>140</v>
      </c>
      <c r="D21" s="16">
        <v>150</v>
      </c>
      <c r="E21" s="16">
        <v>135</v>
      </c>
      <c r="F21" s="16">
        <v>140</v>
      </c>
      <c r="G21" s="16">
        <v>135</v>
      </c>
      <c r="H21" s="16">
        <v>140</v>
      </c>
      <c r="I21" s="18">
        <v>135</v>
      </c>
      <c r="J21" s="16">
        <f>90+43.6</f>
        <v>133.6</v>
      </c>
      <c r="K21" s="16">
        <f>90+46.9</f>
        <v>136.9</v>
      </c>
      <c r="L21" s="16">
        <f>90+42.66</f>
        <v>132.66</v>
      </c>
      <c r="M21" s="18">
        <f>90+43.4</f>
        <v>133.4</v>
      </c>
      <c r="N21" s="7" t="s">
        <v>12</v>
      </c>
      <c r="O21" s="8">
        <v>0</v>
      </c>
      <c r="Q21" s="3">
        <v>0</v>
      </c>
    </row>
    <row r="22" spans="1:17" ht="15" x14ac:dyDescent="0.3">
      <c r="A22" s="13" t="s">
        <v>26</v>
      </c>
      <c r="B22" s="16">
        <v>888.40221699999995</v>
      </c>
      <c r="C22" s="16">
        <v>600</v>
      </c>
      <c r="D22" s="16">
        <v>600</v>
      </c>
      <c r="E22" s="16">
        <v>600</v>
      </c>
      <c r="F22" s="16">
        <v>600</v>
      </c>
      <c r="G22" s="16">
        <v>600</v>
      </c>
      <c r="H22" s="16">
        <v>600</v>
      </c>
      <c r="I22" s="18">
        <v>600</v>
      </c>
      <c r="J22" s="16">
        <v>600</v>
      </c>
      <c r="K22" s="16">
        <v>600</v>
      </c>
      <c r="L22" s="16">
        <v>600</v>
      </c>
      <c r="M22" s="18">
        <v>600</v>
      </c>
      <c r="N22" s="7" t="s">
        <v>13</v>
      </c>
      <c r="O22" s="8">
        <v>0</v>
      </c>
    </row>
    <row r="23" spans="1:17" ht="15" x14ac:dyDescent="0.3">
      <c r="A23" s="13" t="s">
        <v>27</v>
      </c>
      <c r="B23" s="16">
        <v>890.64050899999995</v>
      </c>
      <c r="C23" s="16">
        <v>600</v>
      </c>
      <c r="D23" s="16">
        <v>600</v>
      </c>
      <c r="E23" s="16">
        <v>600</v>
      </c>
      <c r="F23" s="16">
        <v>600</v>
      </c>
      <c r="G23" s="16">
        <v>600</v>
      </c>
      <c r="H23" s="16">
        <v>600</v>
      </c>
      <c r="I23" s="18">
        <v>600</v>
      </c>
      <c r="J23" s="16">
        <v>600</v>
      </c>
      <c r="K23" s="16">
        <v>600</v>
      </c>
      <c r="L23" s="16">
        <v>600</v>
      </c>
      <c r="M23" s="18">
        <v>600</v>
      </c>
    </row>
    <row r="24" spans="1:17" ht="15" x14ac:dyDescent="0.3">
      <c r="A24" s="13" t="s">
        <v>28</v>
      </c>
      <c r="B24" s="16">
        <v>890.64050899999995</v>
      </c>
      <c r="C24" s="16">
        <v>600</v>
      </c>
      <c r="D24" s="16">
        <v>600</v>
      </c>
      <c r="E24" s="16">
        <v>600</v>
      </c>
      <c r="F24" s="16">
        <v>600</v>
      </c>
      <c r="G24" s="16">
        <v>600</v>
      </c>
      <c r="H24" s="16">
        <v>600</v>
      </c>
      <c r="I24" s="18">
        <v>600</v>
      </c>
      <c r="J24" s="16">
        <v>600</v>
      </c>
      <c r="K24" s="16">
        <v>600</v>
      </c>
      <c r="L24" s="16">
        <v>600</v>
      </c>
      <c r="M24" s="18">
        <v>600</v>
      </c>
    </row>
    <row r="25" spans="1:17" ht="15" x14ac:dyDescent="0.3">
      <c r="A25" s="13" t="s">
        <v>29</v>
      </c>
      <c r="B25" s="16">
        <v>795.90020100000004</v>
      </c>
      <c r="C25" s="16">
        <v>600</v>
      </c>
      <c r="D25" s="16">
        <v>600</v>
      </c>
      <c r="E25" s="16">
        <v>600</v>
      </c>
      <c r="F25" s="16">
        <v>600</v>
      </c>
      <c r="G25" s="16">
        <v>600</v>
      </c>
      <c r="H25" s="16">
        <v>600</v>
      </c>
      <c r="I25" s="18">
        <v>600</v>
      </c>
      <c r="J25" s="16">
        <v>600</v>
      </c>
      <c r="K25" s="16">
        <v>600</v>
      </c>
      <c r="L25" s="16">
        <v>600</v>
      </c>
      <c r="M25" s="18">
        <v>600</v>
      </c>
    </row>
    <row r="26" spans="1:17" ht="15" x14ac:dyDescent="0.3">
      <c r="A26" s="13" t="s">
        <v>30</v>
      </c>
      <c r="B26" s="16">
        <v>795.90020100000004</v>
      </c>
      <c r="C26" s="16">
        <v>600</v>
      </c>
      <c r="D26" s="16">
        <v>600</v>
      </c>
      <c r="E26" s="16">
        <v>600</v>
      </c>
      <c r="F26" s="16">
        <v>600</v>
      </c>
      <c r="G26" s="16">
        <v>600</v>
      </c>
      <c r="H26" s="16">
        <v>600</v>
      </c>
      <c r="I26" s="18">
        <v>600</v>
      </c>
      <c r="J26" s="16">
        <v>600</v>
      </c>
      <c r="K26" s="16">
        <v>600</v>
      </c>
      <c r="L26" s="16">
        <v>600</v>
      </c>
      <c r="M26" s="18">
        <v>600</v>
      </c>
    </row>
    <row r="27" spans="1:17" ht="15" x14ac:dyDescent="0.3">
      <c r="A27" s="13" t="s">
        <v>45</v>
      </c>
      <c r="B27" s="23">
        <v>0.48061528999999997</v>
      </c>
      <c r="I27" s="19">
        <v>0.48846277999999999</v>
      </c>
      <c r="J27" s="5">
        <v>0.48888725999999999</v>
      </c>
      <c r="K27" s="5">
        <v>0.49539560999999999</v>
      </c>
      <c r="L27" s="5">
        <v>0.48496798000000002</v>
      </c>
      <c r="M27" s="19">
        <v>0.4857378</v>
      </c>
    </row>
    <row r="28" spans="1:17" x14ac:dyDescent="0.25">
      <c r="B28" s="23"/>
      <c r="I28" s="19" t="s">
        <v>46</v>
      </c>
      <c r="J28" s="5" t="s">
        <v>46</v>
      </c>
      <c r="K28" s="5" t="s">
        <v>46</v>
      </c>
      <c r="M28" s="19"/>
    </row>
    <row r="29" spans="1:17" ht="15" x14ac:dyDescent="0.3">
      <c r="A29" s="13" t="s">
        <v>47</v>
      </c>
      <c r="B29" s="23">
        <v>5.8846080000000002E-2</v>
      </c>
      <c r="I29" s="19">
        <v>5.0462090000000001E-2</v>
      </c>
      <c r="J29" s="5">
        <v>4.3018510000000003E-2</v>
      </c>
      <c r="K29" s="17">
        <v>4.4411949999999999E-2</v>
      </c>
      <c r="L29" s="5">
        <v>5.9470200000000001E-2</v>
      </c>
      <c r="M29" s="19">
        <v>5.9116960000000003E-2</v>
      </c>
    </row>
    <row r="32" spans="1:17" x14ac:dyDescent="0.25">
      <c r="I32" s="24">
        <f>I19+90</f>
        <v>75</v>
      </c>
      <c r="J32" s="24">
        <f>J19+90</f>
        <v>80</v>
      </c>
      <c r="K32" s="24">
        <f t="shared" ref="K32:M32" si="0">K19+90</f>
        <v>80</v>
      </c>
      <c r="L32" s="24">
        <f t="shared" si="0"/>
        <v>69.7</v>
      </c>
      <c r="M32" s="24">
        <f t="shared" si="0"/>
        <v>70</v>
      </c>
    </row>
    <row r="33" spans="9:13" x14ac:dyDescent="0.25">
      <c r="I33" s="24">
        <f>I21-90</f>
        <v>45</v>
      </c>
      <c r="J33" s="24">
        <f t="shared" ref="J33:M33" si="1">J21-90</f>
        <v>43.599999999999994</v>
      </c>
      <c r="K33" s="24">
        <f t="shared" si="1"/>
        <v>46.900000000000006</v>
      </c>
      <c r="L33" s="24">
        <f t="shared" si="1"/>
        <v>42.66</v>
      </c>
      <c r="M33" s="24">
        <f t="shared" si="1"/>
        <v>43.400000000000006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IndexY</cp:lastModifiedBy>
  <dcterms:created xsi:type="dcterms:W3CDTF">2025-10-27T07:29:29Z</dcterms:created>
  <dcterms:modified xsi:type="dcterms:W3CDTF">2026-09-11T01:16:36Z</dcterms:modified>
</cp:coreProperties>
</file>